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Asif\ia-b19-wdes\nov-16-2022\grid\images\class 4\"/>
    </mc:Choice>
  </mc:AlternateContent>
  <bookViews>
    <workbookView xWindow="240" yWindow="60" windowWidth="20055" windowHeight="7950"/>
  </bookViews>
  <sheets>
    <sheet name="Sheet" sheetId="4" r:id="rId1"/>
    <sheet name="Yearly Salary Report" sheetId="17" r:id="rId2"/>
  </sheets>
  <functionGroups builtInGroupCount="18"/>
  <definedNames>
    <definedName name="_xlchart.0" hidden="1">'Yearly Salary Report'!$B$3:$B$14</definedName>
    <definedName name="_xlchart.1" hidden="1">'Yearly Salary Report'!$F$3:$F$14</definedName>
  </definedNames>
  <calcPr calcId="162913"/>
</workbook>
</file>

<file path=xl/calcChain.xml><?xml version="1.0" encoding="utf-8"?>
<calcChain xmlns="http://schemas.openxmlformats.org/spreadsheetml/2006/main">
  <c r="F4" i="17" l="1"/>
  <c r="E4" i="17"/>
  <c r="D4" i="17"/>
  <c r="K2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J3" i="4"/>
  <c r="K3" i="4" s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3" i="4"/>
  <c r="F23" i="4" s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3" i="4"/>
  <c r="G2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3" i="4"/>
  <c r="J23" i="4" l="1"/>
  <c r="E3" i="17"/>
  <c r="F15" i="17"/>
  <c r="C3" i="17"/>
  <c r="D3" i="17"/>
  <c r="E14" i="17"/>
  <c r="D14" i="17"/>
  <c r="C14" i="17"/>
  <c r="E13" i="17"/>
  <c r="D13" i="17"/>
  <c r="C13" i="17"/>
  <c r="E12" i="17"/>
  <c r="D12" i="17"/>
  <c r="C12" i="17"/>
  <c r="E11" i="17"/>
  <c r="D11" i="17"/>
  <c r="C11" i="17"/>
  <c r="E10" i="17"/>
  <c r="D10" i="17"/>
  <c r="C10" i="17"/>
  <c r="E9" i="17"/>
  <c r="D9" i="17"/>
  <c r="C9" i="17"/>
  <c r="E8" i="17"/>
  <c r="D8" i="17"/>
  <c r="C8" i="17"/>
  <c r="E7" i="17"/>
  <c r="D7" i="17"/>
  <c r="C7" i="17"/>
  <c r="E6" i="17"/>
  <c r="D6" i="17"/>
  <c r="C6" i="17"/>
  <c r="E5" i="17"/>
  <c r="D5" i="17"/>
  <c r="C5" i="17"/>
  <c r="I23" i="4"/>
  <c r="H23" i="4"/>
  <c r="E23" i="4"/>
  <c r="C4" i="17" s="1"/>
  <c r="F8" i="17" l="1"/>
  <c r="F11" i="17"/>
  <c r="F12" i="17"/>
  <c r="F14" i="17"/>
  <c r="F6" i="17"/>
  <c r="F7" i="17"/>
  <c r="F9" i="17"/>
  <c r="F13" i="17"/>
  <c r="D16" i="17"/>
  <c r="E16" i="17"/>
  <c r="C16" i="17"/>
  <c r="F3" i="17"/>
  <c r="F16" i="17" l="1"/>
</calcChain>
</file>

<file path=xl/sharedStrings.xml><?xml version="1.0" encoding="utf-8"?>
<sst xmlns="http://schemas.openxmlformats.org/spreadsheetml/2006/main" count="93" uniqueCount="79">
  <si>
    <t>Employee Name</t>
  </si>
  <si>
    <t>Designation</t>
  </si>
  <si>
    <t>Employee UID</t>
  </si>
  <si>
    <t>Basic</t>
  </si>
  <si>
    <t>Allowances</t>
  </si>
  <si>
    <t>Deductions</t>
  </si>
  <si>
    <t>Net Salary</t>
  </si>
  <si>
    <t>January</t>
  </si>
  <si>
    <t>Sr.No</t>
  </si>
  <si>
    <t>Sunil Upadhay</t>
  </si>
  <si>
    <t>Astha Puri</t>
  </si>
  <si>
    <t>Bijal Pande</t>
  </si>
  <si>
    <t>Chirag Sharma</t>
  </si>
  <si>
    <t>Divya Soni</t>
  </si>
  <si>
    <t>Erum Rastogi</t>
  </si>
  <si>
    <t>Geet Sahu</t>
  </si>
  <si>
    <t>Farhan Patel</t>
  </si>
  <si>
    <t>Himesh Surya</t>
  </si>
  <si>
    <t>Imran Abha</t>
  </si>
  <si>
    <t>Jitendra Pande</t>
  </si>
  <si>
    <t>Kailash Rane</t>
  </si>
  <si>
    <t>Luv Patel</t>
  </si>
  <si>
    <t>Manoj Bhide</t>
  </si>
  <si>
    <t>Nancy Pastor</t>
  </si>
  <si>
    <t>Omar Shaikh</t>
  </si>
  <si>
    <t>Preetam Chavla</t>
  </si>
  <si>
    <t>Ram Vihaan</t>
  </si>
  <si>
    <t>Tirth Chobe</t>
  </si>
  <si>
    <t>Umesh Bajrang</t>
  </si>
  <si>
    <t>Salary Sheet For The Month Of</t>
  </si>
  <si>
    <t>AS2101</t>
  </si>
  <si>
    <t>AS2102</t>
  </si>
  <si>
    <t>AS2103</t>
  </si>
  <si>
    <t>AS2104</t>
  </si>
  <si>
    <t>AS2105</t>
  </si>
  <si>
    <t>AS2106</t>
  </si>
  <si>
    <t>AS2107</t>
  </si>
  <si>
    <t>AS2108</t>
  </si>
  <si>
    <t>AS2109</t>
  </si>
  <si>
    <t>AS2110</t>
  </si>
  <si>
    <t>AS2111</t>
  </si>
  <si>
    <t>AS2112</t>
  </si>
  <si>
    <t>AS2113</t>
  </si>
  <si>
    <t>AS2114</t>
  </si>
  <si>
    <t>AS2115</t>
  </si>
  <si>
    <t>AS2116</t>
  </si>
  <si>
    <t>AS2117</t>
  </si>
  <si>
    <t>AS2118</t>
  </si>
  <si>
    <t>AS2119</t>
  </si>
  <si>
    <t>AS2120</t>
  </si>
  <si>
    <t>Office Admin</t>
  </si>
  <si>
    <t>Jr. Accountant</t>
  </si>
  <si>
    <t>Sr. Accountant</t>
  </si>
  <si>
    <t>Manager</t>
  </si>
  <si>
    <t>Delivery Boy</t>
  </si>
  <si>
    <t>Peon</t>
  </si>
  <si>
    <t>Developer</t>
  </si>
  <si>
    <t>Graphic Designer</t>
  </si>
  <si>
    <t>Sr. Developer</t>
  </si>
  <si>
    <t>Total Salary Amount</t>
  </si>
  <si>
    <t>HR Head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</si>
  <si>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</si>
  <si>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</si>
  <si>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</si>
  <si>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</si>
  <si>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</si>
  <si>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</si>
  <si>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</si>
  <si>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</si>
  <si>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</si>
  <si>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</si>
  <si>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</si>
  <si>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Yearly Salary Report</t>
  </si>
  <si>
    <t>Month</t>
  </si>
  <si>
    <t>House  Allowances</t>
  </si>
  <si>
    <t>Trans. Allowances</t>
  </si>
  <si>
    <t>Hospital Allowances</t>
  </si>
  <si>
    <t>Pro. F</t>
  </si>
  <si>
    <t>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</si>
</sst>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_ &quot;₹&quot;\ * #,##0_ ;_ &quot;₹&quot;\ * \-#,##0_ ;_ &quot;₹&quot;\ * &quot;-&quot;??_ ;_ @_ 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164" fontId="0" fillId="3" borderId="1" xfId="0" applyNumberFormat="1" applyFont="1" applyFill="1" applyBorder="1" applyAlignment="1">
      <alignment vertical="center"/>
    </xf>
    <xf numFmtId="164" fontId="1" fillId="3" borderId="1" xfId="0" applyNumberFormat="1" applyFont="1" applyFill="1" applyBorder="1" applyAlignment="1">
      <alignment vertical="center"/>
    </xf>
    <xf numFmtId="0" fontId="0" fillId="3" borderId="1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44" fontId="0" fillId="0" borderId="0" xfId="1" applyFont="1" applyFill="1" applyBorder="1" applyAlignment="1">
      <alignment vertical="center"/>
    </xf>
    <xf numFmtId="44" fontId="1" fillId="0" borderId="0" xfId="1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3"/>
  <sheetViews>
    <sheetView tabSelected="1" topLeftCell="A4" workbookViewId="0">
      <selection activeCell="M14" sqref="M14"/>
    </sheetView>
  </sheetViews>
  <sheetFormatPr defaultRowHeight="15" x14ac:dyDescent="0.25"/>
  <cols>
    <col min="1" max="1" width="5.85546875" style="3" bestFit="1" customWidth="1"/>
    <col min="2" max="2" width="15.7109375" style="1" bestFit="1" customWidth="1"/>
    <col min="3" max="3" width="13.5703125" style="1" bestFit="1" customWidth="1"/>
    <col min="4" max="4" width="18.5703125" style="1" customWidth="1"/>
    <col min="5" max="5" width="12.5703125" style="1" bestFit="1" customWidth="1"/>
    <col min="6" max="6" width="17.85546875" style="1" bestFit="1" customWidth="1"/>
    <col min="7" max="7" width="17" style="1" bestFit="1" customWidth="1"/>
    <col min="8" max="8" width="19.140625" style="1" bestFit="1" customWidth="1"/>
    <col min="9" max="9" width="11" style="1" bestFit="1" customWidth="1"/>
    <col min="10" max="10" width="12.7109375" style="1" customWidth="1"/>
    <col min="11" max="11" width="15.140625" style="1" customWidth="1"/>
    <col min="12" max="12" width="9.140625" style="1" customWidth="1"/>
    <col min="13" max="16384" width="9.140625" style="1"/>
  </cols>
  <sheetData>
    <row r="1" spans="1:13" ht="15.75" x14ac:dyDescent="0.25">
      <c r="A1" s="17" t="s">
        <v>29</v>
      </c>
      <c r="B1" s="17"/>
      <c r="C1" s="17"/>
      <c r="D1" s="17"/>
      <c r="E1" s="4" t="s">
        <v>61</v>
      </c>
      <c r="F1" s="4"/>
      <c r="G1" s="4"/>
      <c r="H1" s="4">
        <v>2022</v>
      </c>
      <c r="I1" s="5"/>
      <c r="J1" s="5"/>
      <c r="K1" s="5"/>
      <c r="M1" s="2"/>
    </row>
    <row r="2" spans="1:13" x14ac:dyDescent="0.25">
      <c r="A2" s="6" t="s">
        <v>8</v>
      </c>
      <c r="B2" s="6" t="s">
        <v>0</v>
      </c>
      <c r="C2" s="6" t="s">
        <v>2</v>
      </c>
      <c r="D2" s="14" t="s">
        <v>1</v>
      </c>
      <c r="E2" s="6" t="s">
        <v>3</v>
      </c>
      <c r="F2" s="6" t="s">
        <v>74</v>
      </c>
      <c r="G2" s="6" t="s">
        <v>75</v>
      </c>
      <c r="H2" s="6" t="s">
        <v>76</v>
      </c>
      <c r="I2" s="6" t="s">
        <v>77</v>
      </c>
      <c r="J2" s="13" t="s">
        <v>78</v>
      </c>
      <c r="K2" s="6" t="s">
        <v>6</v>
      </c>
    </row>
    <row r="3" spans="1:13" x14ac:dyDescent="0.25">
      <c r="A3" s="7">
        <v>1</v>
      </c>
      <c r="B3" s="5" t="s">
        <v>10</v>
      </c>
      <c r="C3" s="7" t="s">
        <v>30</v>
      </c>
      <c r="D3" s="5" t="s">
        <v>56</v>
      </c>
      <c r="E3" s="15">
        <v>15000</v>
      </c>
      <c r="F3" s="15">
        <f>E3*0.15</f>
        <v>2250</v>
      </c>
      <c r="G3" s="15">
        <f>E3*0.1</f>
        <v>1500</v>
      </c>
      <c r="H3" s="15">
        <f>E3*0.05</f>
        <v>750</v>
      </c>
      <c r="I3" s="15">
        <f>E3*0.02</f>
        <v>300</v>
      </c>
      <c r="J3" s="15">
        <f>(SUM(E3:H3)-I3)*0.2</f>
        <v>3840</v>
      </c>
      <c r="K3" s="16">
        <f>SUM(E3:H3)-SUM(I3:J3)</f>
        <v>15360</v>
      </c>
    </row>
    <row r="4" spans="1:13" x14ac:dyDescent="0.25">
      <c r="A4" s="7">
        <v>2</v>
      </c>
      <c r="B4" s="5" t="s">
        <v>11</v>
      </c>
      <c r="C4" s="7" t="s">
        <v>31</v>
      </c>
      <c r="D4" s="5" t="s">
        <v>57</v>
      </c>
      <c r="E4" s="15">
        <v>10000</v>
      </c>
      <c r="F4" s="15">
        <f t="shared" ref="F4:F22" si="0">E4*0.15</f>
        <v>1500</v>
      </c>
      <c r="G4" s="15">
        <f t="shared" ref="G4:G22" si="1">E4*0.1</f>
        <v>1000</v>
      </c>
      <c r="H4" s="15">
        <f t="shared" ref="H4:H22" si="2">E4*0.05</f>
        <v>500</v>
      </c>
      <c r="I4" s="15">
        <f t="shared" ref="I4:I22" si="3">E4*0.02</f>
        <v>200</v>
      </c>
      <c r="J4" s="15">
        <f t="shared" ref="J4:J22" si="4">(SUM(E4:H4)-I4)*0.2</f>
        <v>2560</v>
      </c>
      <c r="K4" s="16">
        <f t="shared" ref="K4:K22" si="5">SUM(E4:H4)-SUM(I4:J4)</f>
        <v>10240</v>
      </c>
    </row>
    <row r="5" spans="1:13" x14ac:dyDescent="0.25">
      <c r="A5" s="7">
        <v>3</v>
      </c>
      <c r="B5" s="5" t="s">
        <v>12</v>
      </c>
      <c r="C5" s="7" t="s">
        <v>32</v>
      </c>
      <c r="D5" s="5" t="s">
        <v>58</v>
      </c>
      <c r="E5" s="15">
        <v>25000</v>
      </c>
      <c r="F5" s="15">
        <f t="shared" si="0"/>
        <v>3750</v>
      </c>
      <c r="G5" s="15">
        <f t="shared" si="1"/>
        <v>2500</v>
      </c>
      <c r="H5" s="15">
        <f t="shared" si="2"/>
        <v>1250</v>
      </c>
      <c r="I5" s="15">
        <f t="shared" si="3"/>
        <v>500</v>
      </c>
      <c r="J5" s="15">
        <f t="shared" si="4"/>
        <v>6400</v>
      </c>
      <c r="K5" s="16">
        <f t="shared" si="5"/>
        <v>25600</v>
      </c>
    </row>
    <row r="6" spans="1:13" x14ac:dyDescent="0.25">
      <c r="A6" s="7">
        <v>4</v>
      </c>
      <c r="B6" s="5" t="s">
        <v>13</v>
      </c>
      <c r="C6" s="7" t="s">
        <v>33</v>
      </c>
      <c r="D6" s="5" t="s">
        <v>57</v>
      </c>
      <c r="E6" s="15">
        <v>12000</v>
      </c>
      <c r="F6" s="15">
        <f t="shared" si="0"/>
        <v>1800</v>
      </c>
      <c r="G6" s="15">
        <f t="shared" si="1"/>
        <v>1200</v>
      </c>
      <c r="H6" s="15">
        <f t="shared" si="2"/>
        <v>600</v>
      </c>
      <c r="I6" s="15">
        <f t="shared" si="3"/>
        <v>240</v>
      </c>
      <c r="J6" s="15">
        <f t="shared" si="4"/>
        <v>3072</v>
      </c>
      <c r="K6" s="16">
        <f t="shared" si="5"/>
        <v>12288</v>
      </c>
    </row>
    <row r="7" spans="1:13" x14ac:dyDescent="0.25">
      <c r="A7" s="7">
        <v>5</v>
      </c>
      <c r="B7" s="5" t="s">
        <v>14</v>
      </c>
      <c r="C7" s="7" t="s">
        <v>34</v>
      </c>
      <c r="D7" s="5" t="s">
        <v>50</v>
      </c>
      <c r="E7" s="15">
        <v>14500</v>
      </c>
      <c r="F7" s="15">
        <f t="shared" si="0"/>
        <v>2175</v>
      </c>
      <c r="G7" s="15">
        <f t="shared" si="1"/>
        <v>1450</v>
      </c>
      <c r="H7" s="15">
        <f t="shared" si="2"/>
        <v>725</v>
      </c>
      <c r="I7" s="15">
        <f t="shared" si="3"/>
        <v>290</v>
      </c>
      <c r="J7" s="15">
        <f t="shared" si="4"/>
        <v>3712</v>
      </c>
      <c r="K7" s="16">
        <f t="shared" si="5"/>
        <v>14848</v>
      </c>
    </row>
    <row r="8" spans="1:13" x14ac:dyDescent="0.25">
      <c r="A8" s="7">
        <v>6</v>
      </c>
      <c r="B8" s="5" t="s">
        <v>16</v>
      </c>
      <c r="C8" s="7" t="s">
        <v>35</v>
      </c>
      <c r="D8" s="5" t="s">
        <v>56</v>
      </c>
      <c r="E8" s="15">
        <v>16000</v>
      </c>
      <c r="F8" s="15">
        <f t="shared" si="0"/>
        <v>2400</v>
      </c>
      <c r="G8" s="15">
        <f t="shared" si="1"/>
        <v>1600</v>
      </c>
      <c r="H8" s="15">
        <f t="shared" si="2"/>
        <v>800</v>
      </c>
      <c r="I8" s="15">
        <f t="shared" si="3"/>
        <v>320</v>
      </c>
      <c r="J8" s="15">
        <f t="shared" si="4"/>
        <v>4096</v>
      </c>
      <c r="K8" s="16">
        <f t="shared" si="5"/>
        <v>16384</v>
      </c>
    </row>
    <row r="9" spans="1:13" x14ac:dyDescent="0.25">
      <c r="A9" s="7">
        <v>7</v>
      </c>
      <c r="B9" s="5" t="s">
        <v>15</v>
      </c>
      <c r="C9" s="7" t="s">
        <v>36</v>
      </c>
      <c r="D9" s="5" t="s">
        <v>52</v>
      </c>
      <c r="E9" s="15">
        <v>35000</v>
      </c>
      <c r="F9" s="15">
        <f t="shared" si="0"/>
        <v>5250</v>
      </c>
      <c r="G9" s="15">
        <f t="shared" si="1"/>
        <v>3500</v>
      </c>
      <c r="H9" s="15">
        <f t="shared" si="2"/>
        <v>1750</v>
      </c>
      <c r="I9" s="15">
        <f t="shared" si="3"/>
        <v>700</v>
      </c>
      <c r="J9" s="15">
        <f t="shared" si="4"/>
        <v>8960</v>
      </c>
      <c r="K9" s="16">
        <f t="shared" si="5"/>
        <v>35840</v>
      </c>
    </row>
    <row r="10" spans="1:13" x14ac:dyDescent="0.25">
      <c r="A10" s="7">
        <v>8</v>
      </c>
      <c r="B10" s="5" t="s">
        <v>17</v>
      </c>
      <c r="C10" s="7" t="s">
        <v>37</v>
      </c>
      <c r="D10" s="5" t="s">
        <v>51</v>
      </c>
      <c r="E10" s="15">
        <v>20000</v>
      </c>
      <c r="F10" s="15">
        <f t="shared" si="0"/>
        <v>3000</v>
      </c>
      <c r="G10" s="15">
        <f t="shared" si="1"/>
        <v>2000</v>
      </c>
      <c r="H10" s="15">
        <f t="shared" si="2"/>
        <v>1000</v>
      </c>
      <c r="I10" s="15">
        <f t="shared" si="3"/>
        <v>400</v>
      </c>
      <c r="J10" s="15">
        <f t="shared" si="4"/>
        <v>5120</v>
      </c>
      <c r="K10" s="16">
        <f t="shared" si="5"/>
        <v>20480</v>
      </c>
    </row>
    <row r="11" spans="1:13" x14ac:dyDescent="0.25">
      <c r="A11" s="7">
        <v>9</v>
      </c>
      <c r="B11" s="5" t="s">
        <v>18</v>
      </c>
      <c r="C11" s="7" t="s">
        <v>38</v>
      </c>
      <c r="D11" s="5" t="s">
        <v>57</v>
      </c>
      <c r="E11" s="15">
        <v>12000</v>
      </c>
      <c r="F11" s="15">
        <f t="shared" si="0"/>
        <v>1800</v>
      </c>
      <c r="G11" s="15">
        <f t="shared" si="1"/>
        <v>1200</v>
      </c>
      <c r="H11" s="15">
        <f t="shared" si="2"/>
        <v>600</v>
      </c>
      <c r="I11" s="15">
        <f t="shared" si="3"/>
        <v>240</v>
      </c>
      <c r="J11" s="15">
        <f t="shared" si="4"/>
        <v>3072</v>
      </c>
      <c r="K11" s="16">
        <f t="shared" si="5"/>
        <v>12288</v>
      </c>
    </row>
    <row r="12" spans="1:13" x14ac:dyDescent="0.25">
      <c r="A12" s="7">
        <v>10</v>
      </c>
      <c r="B12" s="5" t="s">
        <v>19</v>
      </c>
      <c r="C12" s="7" t="s">
        <v>39</v>
      </c>
      <c r="D12" s="5" t="s">
        <v>60</v>
      </c>
      <c r="E12" s="15">
        <v>18000</v>
      </c>
      <c r="F12" s="15">
        <f t="shared" si="0"/>
        <v>2700</v>
      </c>
      <c r="G12" s="15">
        <f t="shared" si="1"/>
        <v>1800</v>
      </c>
      <c r="H12" s="15">
        <f t="shared" si="2"/>
        <v>900</v>
      </c>
      <c r="I12" s="15">
        <f t="shared" si="3"/>
        <v>360</v>
      </c>
      <c r="J12" s="15">
        <f t="shared" si="4"/>
        <v>4608</v>
      </c>
      <c r="K12" s="16">
        <f t="shared" si="5"/>
        <v>18432</v>
      </c>
    </row>
    <row r="13" spans="1:13" x14ac:dyDescent="0.25">
      <c r="A13" s="7">
        <v>11</v>
      </c>
      <c r="B13" s="5" t="s">
        <v>20</v>
      </c>
      <c r="C13" s="7" t="s">
        <v>40</v>
      </c>
      <c r="D13" s="5" t="s">
        <v>53</v>
      </c>
      <c r="E13" s="15">
        <v>45000</v>
      </c>
      <c r="F13" s="15">
        <f t="shared" si="0"/>
        <v>6750</v>
      </c>
      <c r="G13" s="15">
        <f t="shared" si="1"/>
        <v>4500</v>
      </c>
      <c r="H13" s="15">
        <f t="shared" si="2"/>
        <v>2250</v>
      </c>
      <c r="I13" s="15">
        <f t="shared" si="3"/>
        <v>900</v>
      </c>
      <c r="J13" s="15">
        <f t="shared" si="4"/>
        <v>11520</v>
      </c>
      <c r="K13" s="16">
        <f t="shared" si="5"/>
        <v>46080</v>
      </c>
    </row>
    <row r="14" spans="1:13" x14ac:dyDescent="0.25">
      <c r="A14" s="7">
        <v>12</v>
      </c>
      <c r="B14" s="5" t="s">
        <v>21</v>
      </c>
      <c r="C14" s="7" t="s">
        <v>41</v>
      </c>
      <c r="D14" s="5" t="s">
        <v>54</v>
      </c>
      <c r="E14" s="15">
        <v>8000</v>
      </c>
      <c r="F14" s="15">
        <f t="shared" si="0"/>
        <v>1200</v>
      </c>
      <c r="G14" s="15">
        <f t="shared" si="1"/>
        <v>800</v>
      </c>
      <c r="H14" s="15">
        <f t="shared" si="2"/>
        <v>400</v>
      </c>
      <c r="I14" s="15">
        <f t="shared" si="3"/>
        <v>160</v>
      </c>
      <c r="J14" s="15">
        <f t="shared" si="4"/>
        <v>2048</v>
      </c>
      <c r="K14" s="16">
        <f t="shared" si="5"/>
        <v>8192</v>
      </c>
    </row>
    <row r="15" spans="1:13" x14ac:dyDescent="0.25">
      <c r="A15" s="7">
        <v>13</v>
      </c>
      <c r="B15" s="5" t="s">
        <v>22</v>
      </c>
      <c r="C15" s="7" t="s">
        <v>42</v>
      </c>
      <c r="D15" s="5" t="s">
        <v>55</v>
      </c>
      <c r="E15" s="15">
        <v>8000</v>
      </c>
      <c r="F15" s="15">
        <f t="shared" si="0"/>
        <v>1200</v>
      </c>
      <c r="G15" s="15">
        <f t="shared" si="1"/>
        <v>800</v>
      </c>
      <c r="H15" s="15">
        <f t="shared" si="2"/>
        <v>400</v>
      </c>
      <c r="I15" s="15">
        <f t="shared" si="3"/>
        <v>160</v>
      </c>
      <c r="J15" s="15">
        <f t="shared" si="4"/>
        <v>2048</v>
      </c>
      <c r="K15" s="16">
        <f t="shared" si="5"/>
        <v>8192</v>
      </c>
    </row>
    <row r="16" spans="1:13" x14ac:dyDescent="0.25">
      <c r="A16" s="7">
        <v>14</v>
      </c>
      <c r="B16" s="5" t="s">
        <v>23</v>
      </c>
      <c r="C16" s="7" t="s">
        <v>43</v>
      </c>
      <c r="D16" s="5" t="s">
        <v>57</v>
      </c>
      <c r="E16" s="15">
        <v>12000</v>
      </c>
      <c r="F16" s="15">
        <f t="shared" si="0"/>
        <v>1800</v>
      </c>
      <c r="G16" s="15">
        <f t="shared" si="1"/>
        <v>1200</v>
      </c>
      <c r="H16" s="15">
        <f t="shared" si="2"/>
        <v>600</v>
      </c>
      <c r="I16" s="15">
        <f t="shared" si="3"/>
        <v>240</v>
      </c>
      <c r="J16" s="15">
        <f t="shared" si="4"/>
        <v>3072</v>
      </c>
      <c r="K16" s="16">
        <f t="shared" si="5"/>
        <v>12288</v>
      </c>
    </row>
    <row r="17" spans="1:11" x14ac:dyDescent="0.25">
      <c r="A17" s="7">
        <v>15</v>
      </c>
      <c r="B17" s="5" t="s">
        <v>24</v>
      </c>
      <c r="C17" s="7" t="s">
        <v>44</v>
      </c>
      <c r="D17" s="5" t="s">
        <v>58</v>
      </c>
      <c r="E17" s="15">
        <v>23000</v>
      </c>
      <c r="F17" s="15">
        <f t="shared" si="0"/>
        <v>3450</v>
      </c>
      <c r="G17" s="15">
        <f t="shared" si="1"/>
        <v>2300</v>
      </c>
      <c r="H17" s="15">
        <f t="shared" si="2"/>
        <v>1150</v>
      </c>
      <c r="I17" s="15">
        <f t="shared" si="3"/>
        <v>460</v>
      </c>
      <c r="J17" s="15">
        <f t="shared" si="4"/>
        <v>5888</v>
      </c>
      <c r="K17" s="16">
        <f t="shared" si="5"/>
        <v>23552</v>
      </c>
    </row>
    <row r="18" spans="1:11" x14ac:dyDescent="0.25">
      <c r="A18" s="7">
        <v>16</v>
      </c>
      <c r="B18" s="5" t="s">
        <v>25</v>
      </c>
      <c r="C18" s="7" t="s">
        <v>45</v>
      </c>
      <c r="D18" s="5" t="s">
        <v>56</v>
      </c>
      <c r="E18" s="15">
        <v>16000</v>
      </c>
      <c r="F18" s="15">
        <f t="shared" si="0"/>
        <v>2400</v>
      </c>
      <c r="G18" s="15">
        <f t="shared" si="1"/>
        <v>1600</v>
      </c>
      <c r="H18" s="15">
        <f t="shared" si="2"/>
        <v>800</v>
      </c>
      <c r="I18" s="15">
        <f t="shared" si="3"/>
        <v>320</v>
      </c>
      <c r="J18" s="15">
        <f t="shared" si="4"/>
        <v>4096</v>
      </c>
      <c r="K18" s="16">
        <f t="shared" si="5"/>
        <v>16384</v>
      </c>
    </row>
    <row r="19" spans="1:11" x14ac:dyDescent="0.25">
      <c r="A19" s="7">
        <v>17</v>
      </c>
      <c r="B19" s="5" t="s">
        <v>26</v>
      </c>
      <c r="C19" s="7" t="s">
        <v>46</v>
      </c>
      <c r="D19" s="5" t="s">
        <v>57</v>
      </c>
      <c r="E19" s="15">
        <v>12000</v>
      </c>
      <c r="F19" s="15">
        <f t="shared" si="0"/>
        <v>1800</v>
      </c>
      <c r="G19" s="15">
        <f t="shared" si="1"/>
        <v>1200</v>
      </c>
      <c r="H19" s="15">
        <f t="shared" si="2"/>
        <v>600</v>
      </c>
      <c r="I19" s="15">
        <f t="shared" si="3"/>
        <v>240</v>
      </c>
      <c r="J19" s="15">
        <f t="shared" si="4"/>
        <v>3072</v>
      </c>
      <c r="K19" s="16">
        <f t="shared" si="5"/>
        <v>12288</v>
      </c>
    </row>
    <row r="20" spans="1:11" x14ac:dyDescent="0.25">
      <c r="A20" s="7">
        <v>18</v>
      </c>
      <c r="B20" s="5" t="s">
        <v>9</v>
      </c>
      <c r="C20" s="7" t="s">
        <v>47</v>
      </c>
      <c r="D20" s="5" t="s">
        <v>56</v>
      </c>
      <c r="E20" s="15">
        <v>16000</v>
      </c>
      <c r="F20" s="15">
        <f t="shared" si="0"/>
        <v>2400</v>
      </c>
      <c r="G20" s="15">
        <f t="shared" si="1"/>
        <v>1600</v>
      </c>
      <c r="H20" s="15">
        <f t="shared" si="2"/>
        <v>800</v>
      </c>
      <c r="I20" s="15">
        <f t="shared" si="3"/>
        <v>320</v>
      </c>
      <c r="J20" s="15">
        <f t="shared" si="4"/>
        <v>4096</v>
      </c>
      <c r="K20" s="16">
        <f t="shared" si="5"/>
        <v>16384</v>
      </c>
    </row>
    <row r="21" spans="1:11" x14ac:dyDescent="0.25">
      <c r="A21" s="7">
        <v>19</v>
      </c>
      <c r="B21" s="5" t="s">
        <v>27</v>
      </c>
      <c r="C21" s="7" t="s">
        <v>48</v>
      </c>
      <c r="D21" s="5" t="s">
        <v>56</v>
      </c>
      <c r="E21" s="15">
        <v>17000</v>
      </c>
      <c r="F21" s="15">
        <f t="shared" si="0"/>
        <v>2550</v>
      </c>
      <c r="G21" s="15">
        <f t="shared" si="1"/>
        <v>1700</v>
      </c>
      <c r="H21" s="15">
        <f t="shared" si="2"/>
        <v>850</v>
      </c>
      <c r="I21" s="15">
        <f t="shared" si="3"/>
        <v>340</v>
      </c>
      <c r="J21" s="15">
        <f t="shared" si="4"/>
        <v>4352</v>
      </c>
      <c r="K21" s="16">
        <f t="shared" si="5"/>
        <v>17408</v>
      </c>
    </row>
    <row r="22" spans="1:11" x14ac:dyDescent="0.25">
      <c r="A22" s="7">
        <v>20</v>
      </c>
      <c r="B22" s="5" t="s">
        <v>28</v>
      </c>
      <c r="C22" s="7" t="s">
        <v>49</v>
      </c>
      <c r="D22" s="5" t="s">
        <v>58</v>
      </c>
      <c r="E22" s="15">
        <v>28000</v>
      </c>
      <c r="F22" s="15">
        <f t="shared" si="0"/>
        <v>4200</v>
      </c>
      <c r="G22" s="15">
        <f t="shared" si="1"/>
        <v>2800</v>
      </c>
      <c r="H22" s="15">
        <f t="shared" si="2"/>
        <v>1400</v>
      </c>
      <c r="I22" s="15">
        <f t="shared" si="3"/>
        <v>560</v>
      </c>
      <c r="J22" s="15">
        <f t="shared" si="4"/>
        <v>7168</v>
      </c>
      <c r="K22" s="16">
        <f t="shared" si="5"/>
        <v>28672</v>
      </c>
    </row>
    <row r="23" spans="1:11" x14ac:dyDescent="0.25">
      <c r="A23" s="7"/>
      <c r="B23" s="5"/>
      <c r="C23" s="18" t="s">
        <v>59</v>
      </c>
      <c r="D23" s="18"/>
      <c r="E23" s="16">
        <f>SUM(E3:E22)</f>
        <v>362500</v>
      </c>
      <c r="F23" s="16">
        <f>SUM(F3:F22)</f>
        <v>54375</v>
      </c>
      <c r="G23" s="16">
        <f>SUM(G3:G22)</f>
        <v>36250</v>
      </c>
      <c r="H23" s="16">
        <f>SUM(H3:H22)</f>
        <v>18125</v>
      </c>
      <c r="I23" s="16">
        <f>SUM(I3:I22)</f>
        <v>7250</v>
      </c>
      <c r="J23" s="16">
        <f>SUM(J3:J22)</f>
        <v>92800</v>
      </c>
      <c r="K23" s="16">
        <f>SUM(K3:K22)</f>
        <v>371200</v>
      </c>
    </row>
  </sheetData>
  <mergeCells count="2">
    <mergeCell ref="A1:D1"/>
    <mergeCell ref="C23:D23"/>
  </mergeCells>
  <dataValidations count="2">
    <dataValidation type="list" allowBlank="1" showInputMessage="1" showErrorMessage="1" sqref="E1:G1">
      <formula1>"January, February, March, April, May, June, July, August, September, October, November, December"</formula1>
    </dataValidation>
    <dataValidation type="list" allowBlank="1" showInputMessage="1" showErrorMessage="1" sqref="H1">
      <formula1>"2020,2021,2022,2023,2024,2025,2026,2027,2028,2029,2030"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6"/>
  <sheetViews>
    <sheetView workbookViewId="0">
      <selection activeCell="Q4" sqref="Q4"/>
    </sheetView>
  </sheetViews>
  <sheetFormatPr defaultRowHeight="15" x14ac:dyDescent="0.25"/>
  <cols>
    <col min="1" max="1" width="5.85546875" style="3" bestFit="1" customWidth="1"/>
    <col min="2" max="2" width="14.7109375" style="1" customWidth="1"/>
    <col min="3" max="3" width="12.140625" style="1" customWidth="1"/>
    <col min="4" max="4" width="11.5703125" style="1" bestFit="1" customWidth="1"/>
    <col min="5" max="5" width="11" style="1" bestFit="1" customWidth="1"/>
    <col min="6" max="6" width="11.5703125" style="1" bestFit="1" customWidth="1"/>
    <col min="7" max="7" width="9.140625" style="1" customWidth="1"/>
    <col min="8" max="16384" width="9.140625" style="1"/>
  </cols>
  <sheetData>
    <row r="1" spans="1:8" ht="32.25" x14ac:dyDescent="0.25">
      <c r="A1" s="19" t="s">
        <v>72</v>
      </c>
      <c r="B1" s="19"/>
      <c r="C1" s="19"/>
      <c r="D1" s="19"/>
      <c r="E1" s="19">
        <v>2022</v>
      </c>
      <c r="F1" s="19"/>
      <c r="H1" s="2"/>
    </row>
    <row r="2" spans="1:8" x14ac:dyDescent="0.25">
      <c r="A2" s="8" t="s">
        <v>8</v>
      </c>
      <c r="B2" s="8" t="s">
        <v>73</v>
      </c>
      <c r="C2" s="8" t="s">
        <v>3</v>
      </c>
      <c r="D2" s="8" t="s">
        <v>4</v>
      </c>
      <c r="E2" s="8" t="s">
        <v>5</v>
      </c>
      <c r="F2" s="8" t="s">
        <v>6</v>
      </c>
    </row>
    <row r="3" spans="1:8" x14ac:dyDescent="0.25">
      <c r="A3" s="9">
        <v>1</v>
      </c>
      <c r="B3" s="9" t="s">
        <v>7</v>
      </c>
      <c r="C3" s="10" t="e">
        <f>#REF!</f>
        <v>#REF!</v>
      </c>
      <c r="D3" s="10" t="e">
        <f>#REF!</f>
        <v>#REF!</v>
      </c>
      <c r="E3" s="10" t="e">
        <f>#REF!</f>
        <v>#REF!</v>
      </c>
      <c r="F3" s="11" t="e">
        <f t="shared" ref="F3:F15" si="0">C3+D3-E3</f>
        <v>#REF!</v>
      </c>
    </row>
    <row r="4" spans="1:8" x14ac:dyDescent="0.25">
      <c r="A4" s="9">
        <v>2</v>
      </c>
      <c r="B4" s="9" t="s">
        <v>61</v>
      </c>
      <c r="C4" s="10">
        <f>Sheet!E23</f>
        <v>362500</v>
      </c>
      <c r="D4" s="10">
        <f>SUM(Sheet!F23:H23)</f>
        <v>108750</v>
      </c>
      <c r="E4" s="10">
        <f>SUM(Sheet!I23:J23)</f>
        <v>100050</v>
      </c>
      <c r="F4" s="11">
        <f>SUM(C4:D4)-E4</f>
        <v>371200</v>
      </c>
    </row>
    <row r="5" spans="1:8" x14ac:dyDescent="0.25">
      <c r="A5" s="9">
        <v>3</v>
      </c>
      <c r="B5" s="9" t="s">
        <v>62</v>
      </c>
      <c r="C5" s="10" t="e">
        <f>#REF!</f>
        <v>#REF!</v>
      </c>
      <c r="D5" s="10" t="e">
        <f>#REF!</f>
        <v>#REF!</v>
      </c>
      <c r="E5" s="10" t="e">
        <f>#REF!</f>
        <v>#REF!</v>
      </c>
      <c r="F5" s="11">
        <v>70000</v>
      </c>
    </row>
    <row r="6" spans="1:8" x14ac:dyDescent="0.25">
      <c r="A6" s="9">
        <v>4</v>
      </c>
      <c r="B6" s="9" t="s">
        <v>63</v>
      </c>
      <c r="C6" s="10" t="e">
        <f>#REF!</f>
        <v>#REF!</v>
      </c>
      <c r="D6" s="10" t="e">
        <f>#REF!</f>
        <v>#REF!</v>
      </c>
      <c r="E6" s="10" t="e">
        <f>#REF!</f>
        <v>#REF!</v>
      </c>
      <c r="F6" s="11" t="e">
        <f t="shared" si="0"/>
        <v>#REF!</v>
      </c>
    </row>
    <row r="7" spans="1:8" x14ac:dyDescent="0.25">
      <c r="A7" s="9">
        <v>5</v>
      </c>
      <c r="B7" s="9" t="s">
        <v>64</v>
      </c>
      <c r="C7" s="10" t="e">
        <f>#REF!</f>
        <v>#REF!</v>
      </c>
      <c r="D7" s="10" t="e">
        <f>#REF!</f>
        <v>#REF!</v>
      </c>
      <c r="E7" s="10" t="e">
        <f>#REF!</f>
        <v>#REF!</v>
      </c>
      <c r="F7" s="11" t="e">
        <f t="shared" si="0"/>
        <v>#REF!</v>
      </c>
    </row>
    <row r="8" spans="1:8" x14ac:dyDescent="0.25">
      <c r="A8" s="9">
        <v>6</v>
      </c>
      <c r="B8" s="9" t="s">
        <v>65</v>
      </c>
      <c r="C8" s="10" t="e">
        <f>#REF!</f>
        <v>#REF!</v>
      </c>
      <c r="D8" s="10" t="e">
        <f>#REF!</f>
        <v>#REF!</v>
      </c>
      <c r="E8" s="10" t="e">
        <f>#REF!</f>
        <v>#REF!</v>
      </c>
      <c r="F8" s="11" t="e">
        <f t="shared" si="0"/>
        <v>#REF!</v>
      </c>
    </row>
    <row r="9" spans="1:8" x14ac:dyDescent="0.25">
      <c r="A9" s="9">
        <v>7</v>
      </c>
      <c r="B9" s="9" t="s">
        <v>66</v>
      </c>
      <c r="C9" s="10" t="e">
        <f>#REF!</f>
        <v>#REF!</v>
      </c>
      <c r="D9" s="10" t="e">
        <f>#REF!</f>
        <v>#REF!</v>
      </c>
      <c r="E9" s="10" t="e">
        <f>#REF!</f>
        <v>#REF!</v>
      </c>
      <c r="F9" s="11" t="e">
        <f t="shared" si="0"/>
        <v>#REF!</v>
      </c>
    </row>
    <row r="10" spans="1:8" x14ac:dyDescent="0.25">
      <c r="A10" s="9">
        <v>8</v>
      </c>
      <c r="B10" s="9" t="s">
        <v>67</v>
      </c>
      <c r="C10" s="10" t="e">
        <f>#REF!</f>
        <v>#REF!</v>
      </c>
      <c r="D10" s="10" t="e">
        <f>#REF!</f>
        <v>#REF!</v>
      </c>
      <c r="E10" s="10" t="e">
        <f>#REF!</f>
        <v>#REF!</v>
      </c>
      <c r="F10" s="11">
        <v>200000</v>
      </c>
    </row>
    <row r="11" spans="1:8" x14ac:dyDescent="0.25">
      <c r="A11" s="9">
        <v>9</v>
      </c>
      <c r="B11" s="9" t="s">
        <v>68</v>
      </c>
      <c r="C11" s="10" t="e">
        <f>#REF!</f>
        <v>#REF!</v>
      </c>
      <c r="D11" s="10" t="e">
        <f>#REF!</f>
        <v>#REF!</v>
      </c>
      <c r="E11" s="10" t="e">
        <f>#REF!</f>
        <v>#REF!</v>
      </c>
      <c r="F11" s="11" t="e">
        <f t="shared" si="0"/>
        <v>#REF!</v>
      </c>
    </row>
    <row r="12" spans="1:8" x14ac:dyDescent="0.25">
      <c r="A12" s="9">
        <v>10</v>
      </c>
      <c r="B12" s="9" t="s">
        <v>69</v>
      </c>
      <c r="C12" s="10" t="e">
        <f>#REF!</f>
        <v>#REF!</v>
      </c>
      <c r="D12" s="10" t="e">
        <f>#REF!</f>
        <v>#REF!</v>
      </c>
      <c r="E12" s="10" t="e">
        <f>#REF!</f>
        <v>#REF!</v>
      </c>
      <c r="F12" s="11" t="e">
        <f t="shared" si="0"/>
        <v>#REF!</v>
      </c>
    </row>
    <row r="13" spans="1:8" x14ac:dyDescent="0.25">
      <c r="A13" s="9">
        <v>11</v>
      </c>
      <c r="B13" s="9" t="s">
        <v>70</v>
      </c>
      <c r="C13" s="10" t="e">
        <f>#REF!</f>
        <v>#REF!</v>
      </c>
      <c r="D13" s="10" t="e">
        <f>#REF!</f>
        <v>#REF!</v>
      </c>
      <c r="E13" s="10" t="e">
        <f>#REF!</f>
        <v>#REF!</v>
      </c>
      <c r="F13" s="11" t="e">
        <f t="shared" si="0"/>
        <v>#REF!</v>
      </c>
    </row>
    <row r="14" spans="1:8" x14ac:dyDescent="0.25">
      <c r="A14" s="9">
        <v>12</v>
      </c>
      <c r="B14" s="9" t="s">
        <v>71</v>
      </c>
      <c r="C14" s="10" t="e">
        <f>#REF!</f>
        <v>#REF!</v>
      </c>
      <c r="D14" s="10" t="e">
        <f>#REF!</f>
        <v>#REF!</v>
      </c>
      <c r="E14" s="10" t="e">
        <f>#REF!</f>
        <v>#REF!</v>
      </c>
      <c r="F14" s="11" t="e">
        <f t="shared" si="0"/>
        <v>#REF!</v>
      </c>
    </row>
    <row r="15" spans="1:8" x14ac:dyDescent="0.25">
      <c r="A15" s="9"/>
      <c r="B15" s="12"/>
      <c r="C15" s="10"/>
      <c r="D15" s="10"/>
      <c r="E15" s="10"/>
      <c r="F15" s="11">
        <f t="shared" si="0"/>
        <v>0</v>
      </c>
    </row>
    <row r="16" spans="1:8" x14ac:dyDescent="0.25">
      <c r="A16" s="9"/>
      <c r="B16" s="12"/>
      <c r="C16" s="11" t="e">
        <f>SUM(C3:C14)</f>
        <v>#REF!</v>
      </c>
      <c r="D16" s="11" t="e">
        <f>SUM(D3:D14)</f>
        <v>#REF!</v>
      </c>
      <c r="E16" s="11" t="e">
        <f>SUM(E3:E14)</f>
        <v>#REF!</v>
      </c>
      <c r="F16" s="11" t="e">
        <f>SUM(F3:F14)</f>
        <v>#REF!</v>
      </c>
    </row>
  </sheetData>
  <mergeCells count="2">
    <mergeCell ref="E1:F1"/>
    <mergeCell ref="A1:D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</vt:lpstr>
      <vt:lpstr>Yearly Salary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MSOfficeGeek;Fahim</dc:creator>
  <cp:keywords>Salary Sheet Template With Provident Fund</cp:keywords>
  <cp:lastModifiedBy>Windows User</cp:lastModifiedBy>
  <cp:lastPrinted>2021-03-04T13:16:05Z</cp:lastPrinted>
  <dcterms:created xsi:type="dcterms:W3CDTF">2021-02-27T06:08:06Z</dcterms:created>
  <dcterms:modified xsi:type="dcterms:W3CDTF">2022-11-18T04:41:45Z</dcterms:modified>
</cp:coreProperties>
</file>